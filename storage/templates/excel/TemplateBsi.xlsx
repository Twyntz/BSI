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:\07. Informatique\8. Projets Partages\Projet BSI\Template\"/>
    </mc:Choice>
  </mc:AlternateContent>
  <xr:revisionPtr revIDLastSave="0" documentId="13_ncr:1_{13211B9A-D25F-46F2-A515-EDD1D19410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2" r:id="rId1"/>
  </sheets>
  <definedNames>
    <definedName name="SalaireBaseAnnuel" localSheetId="0">Sheet!$D$16</definedName>
    <definedName name="SalaireBaseAnnu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2" l="1"/>
  <c r="F13" i="2"/>
  <c r="G14" i="2" l="1"/>
</calcChain>
</file>

<file path=xl/sharedStrings.xml><?xml version="1.0" encoding="utf-8"?>
<sst xmlns="http://schemas.openxmlformats.org/spreadsheetml/2006/main" count="41" uniqueCount="40">
  <si>
    <t>Salaire de base annuel</t>
  </si>
  <si>
    <t>Prime annuelle</t>
  </si>
  <si>
    <t>280 jours</t>
  </si>
  <si>
    <t>Total</t>
  </si>
  <si>
    <t>Collaborateur</t>
  </si>
  <si>
    <t>Employeur</t>
  </si>
  <si>
    <t>Retraite</t>
  </si>
  <si>
    <t>Prévoyance</t>
  </si>
  <si>
    <t>Maladie</t>
  </si>
  <si>
    <t>Mutuelle</t>
  </si>
  <si>
    <t>Heures supplémentaires</t>
  </si>
  <si>
    <t>Prime d'intéressement</t>
  </si>
  <si>
    <t>NOM Prénom</t>
  </si>
  <si>
    <t>Poste occupé</t>
  </si>
  <si>
    <t>Ancienneté</t>
  </si>
  <si>
    <t>Date d'arrivée</t>
  </si>
  <si>
    <t>Contrat</t>
  </si>
  <si>
    <t>CDI</t>
  </si>
  <si>
    <t>soit</t>
  </si>
  <si>
    <t>par mois</t>
  </si>
  <si>
    <t>de frais de transport</t>
  </si>
  <si>
    <t>de chèques cadeaux</t>
  </si>
  <si>
    <t>Acompte sur le salaire:</t>
  </si>
  <si>
    <t xml:space="preserve">(dans la limite de 20 000 € tous les 3 ans) </t>
  </si>
  <si>
    <t>20 769.34 €</t>
  </si>
  <si>
    <t>Jours travaillés</t>
  </si>
  <si>
    <t>Tu as perçu</t>
  </si>
  <si>
    <t>TON POUVOIR D'ACHAT</t>
  </si>
  <si>
    <t>TES CHARGES SOCIALES &amp; AVANTAGES SOCIAUX</t>
  </si>
  <si>
    <t>Assurance chômage</t>
  </si>
  <si>
    <t>mensuellement</t>
  </si>
  <si>
    <t>Hors remise personnelle sur achat</t>
  </si>
  <si>
    <t>Net à payer annuelle</t>
  </si>
  <si>
    <t>(ou l'équivalent de</t>
  </si>
  <si>
    <t>mois de salaire)</t>
  </si>
  <si>
    <t>Ton brut annuel :</t>
  </si>
  <si>
    <t>Brut annuel</t>
  </si>
  <si>
    <t>TA REMUNERATION BRUTE ANNUELLE TOTALE</t>
  </si>
  <si>
    <t>4.7 an(s)</t>
  </si>
  <si>
    <t>Bilan Social Individuel
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</si>
</sst>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Gilroy-Bold"/>
    </font>
    <font>
      <sz val="11"/>
      <color theme="1"/>
      <name val="Gilroy-Bold"/>
    </font>
    <font>
      <b/>
      <sz val="14"/>
      <color theme="4"/>
      <name val="Gilroy-Bold"/>
    </font>
    <font>
      <b/>
      <sz val="14"/>
      <name val="Gilroy-Bold"/>
    </font>
    <font>
      <b/>
      <sz val="18"/>
      <color rgb="FFFF0000"/>
      <name val="Gilroy-Bold"/>
    </font>
    <font>
      <b/>
      <sz val="14"/>
      <color rgb="FF7030A0"/>
      <name val="Gilroy-Bold"/>
    </font>
    <font>
      <b/>
      <sz val="16"/>
      <color rgb="FFFF0000"/>
      <name val="Gilroy-Bold"/>
    </font>
    <font>
      <b/>
      <sz val="14"/>
      <color rgb="FF00B050"/>
      <name val="Gilroy-Bold"/>
    </font>
    <font>
      <sz val="14"/>
      <color theme="1"/>
      <name val="Gilroy-Bold"/>
    </font>
    <font>
      <b/>
      <sz val="14"/>
      <color rgb="FFFF0000"/>
      <name val="Gilroy-Bold"/>
    </font>
    <font>
      <b/>
      <sz val="12"/>
      <color theme="9" tint="-0.249977111117893"/>
      <name val="Gilroy-Bold"/>
    </font>
    <font>
      <b/>
      <sz val="16"/>
      <color theme="1"/>
      <name val="Gilroy-Bold"/>
    </font>
    <font>
      <b/>
      <sz val="12"/>
      <color theme="1"/>
      <name val="Gilroy-Bold"/>
    </font>
    <font>
      <sz val="12"/>
      <color theme="0"/>
      <name val="Gilroy-Bold"/>
    </font>
    <font>
      <b/>
      <sz val="11"/>
      <color theme="1"/>
      <name val="Gilroy-Bold"/>
    </font>
    <font>
      <sz val="11"/>
      <color theme="1"/>
      <name val="Gilroy-Medium"/>
    </font>
    <font>
      <sz val="11"/>
      <color theme="1" tint="0.249977111117893"/>
      <name val="Gilroy-Bold"/>
    </font>
    <font>
      <b/>
      <sz val="18"/>
      <color theme="1" tint="0.249977111117893"/>
      <name val="Gilroy-Bold"/>
    </font>
    <font>
      <b/>
      <sz val="11"/>
      <color theme="1" tint="0.249977111117893"/>
      <name val="Gilroy-Bold"/>
    </font>
    <font>
      <b/>
      <sz val="18"/>
      <color rgb="FF33CB86"/>
      <name val="Gilroy-Bold"/>
    </font>
    <font>
      <sz val="14"/>
      <color rgb="FF33CB86"/>
      <name val="Gilroy-Bold"/>
    </font>
    <font>
      <b/>
      <sz val="14"/>
      <color theme="1" tint="0.249977111117893"/>
      <name val="Gilroy-Bold"/>
    </font>
    <font>
      <b/>
      <sz val="11"/>
      <color theme="1" tint="0.249977111117893"/>
      <name val="Gilroy-Medium"/>
    </font>
    <font>
      <sz val="11"/>
      <color theme="1" tint="0.249977111117893"/>
      <name val="Gilroy-Medium"/>
    </font>
    <font>
      <b/>
      <sz val="12"/>
      <color theme="1" tint="0.249977111117893"/>
      <name val="Gilroy-Bold"/>
    </font>
    <font>
      <b/>
      <sz val="16"/>
      <color theme="1" tint="0.249977111117893"/>
      <name val="Gilroy-Bold"/>
    </font>
    <font>
      <sz val="14"/>
      <color theme="1" tint="0.249977111117893"/>
      <name val="Gilroy-Bold"/>
    </font>
    <font>
      <i/>
      <sz val="8"/>
      <color theme="1" tint="0.249977111117893"/>
      <name val="Gilroy-Medium"/>
    </font>
    <font>
      <b/>
      <sz val="15"/>
      <color theme="1" tint="0.249977111117893"/>
      <name val="Gilroy-Bold"/>
    </font>
    <font>
      <b/>
      <sz val="12"/>
      <color theme="1" tint="0.249977111117893"/>
      <name val="Gilroy-Medium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04649"/>
        <bgColor indexed="64"/>
      </patternFill>
    </fill>
    <fill>
      <patternFill patternType="solid">
        <fgColor rgb="FF33CB86"/>
        <bgColor indexed="64"/>
      </patternFill>
    </fill>
    <fill>
      <patternFill patternType="solid">
        <fgColor rgb="FFBCEED7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33CB86"/>
      </bottom>
      <diagonal/>
    </border>
    <border>
      <left/>
      <right style="thin">
        <color indexed="64"/>
      </right>
      <top/>
      <bottom style="thin">
        <color rgb="FF33CB86"/>
      </bottom>
      <diagonal/>
    </border>
    <border>
      <left style="thin">
        <color indexed="64"/>
      </left>
      <right/>
      <top/>
      <bottom style="thin">
        <color rgb="FF33CB86"/>
      </bottom>
      <diagonal/>
    </border>
    <border>
      <left style="thin">
        <color rgb="FF33CB86"/>
      </left>
      <right/>
      <top style="thin">
        <color rgb="FF33CB86"/>
      </top>
      <bottom style="thin">
        <color rgb="FF33CB86"/>
      </bottom>
      <diagonal/>
    </border>
    <border>
      <left/>
      <right style="thin">
        <color indexed="64"/>
      </right>
      <top style="thin">
        <color rgb="FF33CB86"/>
      </top>
      <bottom style="thin">
        <color rgb="FF33CB86"/>
      </bottom>
      <diagonal/>
    </border>
    <border>
      <left style="thin">
        <color indexed="64"/>
      </left>
      <right/>
      <top style="thin">
        <color rgb="FF33CB86"/>
      </top>
      <bottom style="thin">
        <color rgb="FF33CB86"/>
      </bottom>
      <diagonal/>
    </border>
    <border>
      <left/>
      <right style="thin">
        <color rgb="FF33CB86"/>
      </right>
      <top style="thin">
        <color rgb="FF33CB86"/>
      </top>
      <bottom style="thin">
        <color rgb="FF33CB86"/>
      </bottom>
      <diagonal/>
    </border>
    <border>
      <left style="thin">
        <color rgb="FF33CB86"/>
      </left>
      <right/>
      <top/>
      <bottom/>
      <diagonal/>
    </border>
    <border>
      <left/>
      <right style="thin">
        <color rgb="FF33CB86"/>
      </right>
      <top/>
      <bottom/>
      <diagonal/>
    </border>
    <border>
      <left style="thin">
        <color rgb="FF33CB86"/>
      </left>
      <right/>
      <top/>
      <bottom style="thin">
        <color rgb="FF33CB86"/>
      </bottom>
      <diagonal/>
    </border>
    <border>
      <left/>
      <right style="thin">
        <color rgb="FF33CB86"/>
      </right>
      <top/>
      <bottom style="thin">
        <color rgb="FF33CB86"/>
      </bottom>
      <diagonal/>
    </border>
    <border>
      <left style="thin">
        <color rgb="FF33CB86"/>
      </left>
      <right/>
      <top style="thin">
        <color rgb="FF33CB86"/>
      </top>
      <bottom/>
      <diagonal/>
    </border>
    <border>
      <left/>
      <right style="thin">
        <color indexed="64"/>
      </right>
      <top style="thin">
        <color rgb="FF33CB86"/>
      </top>
      <bottom/>
      <diagonal/>
    </border>
    <border>
      <left style="thin">
        <color indexed="64"/>
      </left>
      <right/>
      <top style="thin">
        <color rgb="FF33CB86"/>
      </top>
      <bottom/>
      <diagonal/>
    </border>
    <border>
      <left/>
      <right style="thin">
        <color rgb="FF33CB86"/>
      </right>
      <top style="thin">
        <color rgb="FF33CB86"/>
      </top>
      <bottom/>
      <diagonal/>
    </border>
  </borders>
  <cellStyleXfs count="2">
    <xf numFmtId="0" fontId="0" fillId="0" borderId="0"/>
    <xf numFmtId="44" fontId="1" fillId="0" borderId="0"/>
  </cellStyleXfs>
  <cellXfs count="9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164" fontId="8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16" fillId="0" borderId="0" xfId="0" applyFont="1" applyAlignment="1">
      <alignment vertical="top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164" fontId="19" fillId="0" borderId="0" xfId="1" applyNumberFormat="1" applyFont="1" applyAlignment="1">
      <alignment horizontal="center" vertical="top"/>
    </xf>
    <xf numFmtId="0" fontId="18" fillId="0" borderId="0" xfId="0" applyFont="1"/>
    <xf numFmtId="0" fontId="24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44" fontId="12" fillId="0" borderId="0" xfId="1" applyFont="1" applyAlignment="1">
      <alignment vertical="center"/>
    </xf>
    <xf numFmtId="0" fontId="14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wrapText="1"/>
    </xf>
    <xf numFmtId="164" fontId="24" fillId="0" borderId="0" xfId="0" applyNumberFormat="1" applyFont="1" applyAlignment="1">
      <alignment horizontal="right" vertical="center"/>
    </xf>
    <xf numFmtId="0" fontId="24" fillId="2" borderId="0" xfId="0" applyFont="1" applyFill="1" applyAlignment="1">
      <alignment vertical="center" wrapText="1"/>
    </xf>
    <xf numFmtId="0" fontId="24" fillId="2" borderId="0" xfId="0" applyFont="1" applyFill="1" applyAlignment="1">
      <alignment horizontal="left" vertical="center" wrapText="1"/>
    </xf>
    <xf numFmtId="0" fontId="29" fillId="2" borderId="0" xfId="0" applyFont="1" applyFill="1" applyAlignment="1">
      <alignment horizontal="left" vertical="top"/>
    </xf>
    <xf numFmtId="0" fontId="15" fillId="3" borderId="0" xfId="0" applyFont="1" applyFill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vertical="top"/>
    </xf>
    <xf numFmtId="0" fontId="2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4" fontId="31" fillId="2" borderId="0" xfId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26" fillId="0" borderId="0" xfId="0" applyFont="1" applyAlignment="1">
      <alignment horizontal="right" vertical="center"/>
    </xf>
    <xf numFmtId="164" fontId="30" fillId="0" borderId="0" xfId="1" applyNumberFormat="1" applyFont="1" applyAlignment="1">
      <alignment horizontal="right" vertical="center"/>
    </xf>
    <xf numFmtId="164" fontId="30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0" fillId="0" borderId="0" xfId="0" applyFont="1"/>
    <xf numFmtId="0" fontId="23" fillId="5" borderId="0" xfId="0" applyFont="1" applyFill="1" applyAlignment="1">
      <alignment horizontal="left" vertical="center"/>
    </xf>
    <xf numFmtId="0" fontId="28" fillId="5" borderId="0" xfId="0" applyFont="1" applyFill="1"/>
    <xf numFmtId="0" fontId="10" fillId="5" borderId="0" xfId="0" applyFont="1" applyFill="1"/>
    <xf numFmtId="0" fontId="23" fillId="0" borderId="0" xfId="0" applyFont="1" applyAlignment="1">
      <alignment horizontal="left" vertical="center"/>
    </xf>
    <xf numFmtId="0" fontId="28" fillId="0" borderId="0" xfId="0" applyFont="1"/>
    <xf numFmtId="0" fontId="23" fillId="0" borderId="0" xfId="0" applyFont="1" applyAlignment="1">
      <alignment horizontal="center" vertical="center"/>
    </xf>
    <xf numFmtId="164" fontId="23" fillId="0" borderId="0" xfId="1" applyNumberFormat="1" applyFont="1" applyAlignment="1">
      <alignment horizontal="center" vertical="top"/>
    </xf>
    <xf numFmtId="164" fontId="23" fillId="6" borderId="0" xfId="1" applyNumberFormat="1" applyFont="1" applyFill="1" applyAlignment="1">
      <alignment horizontal="center" vertical="center"/>
    </xf>
    <xf numFmtId="164" fontId="26" fillId="0" borderId="0" xfId="1" applyNumberFormat="1" applyFont="1" applyAlignment="1">
      <alignment horizontal="right" vertical="center"/>
    </xf>
    <xf numFmtId="0" fontId="25" fillId="0" borderId="0" xfId="0" applyFont="1" applyAlignment="1">
      <alignment horizontal="left" vertical="top"/>
    </xf>
    <xf numFmtId="164" fontId="23" fillId="0" borderId="0" xfId="1" applyNumberFormat="1" applyFont="1" applyAlignment="1">
      <alignment horizontal="right" vertical="center"/>
    </xf>
    <xf numFmtId="0" fontId="2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16" fillId="0" borderId="0" xfId="0" applyNumberFormat="1" applyFont="1" applyAlignment="1">
      <alignment horizontal="left" vertical="top"/>
    </xf>
    <xf numFmtId="164" fontId="24" fillId="0" borderId="0" xfId="1" applyNumberFormat="1" applyFont="1" applyAlignment="1">
      <alignment horizontal="right" vertical="center"/>
    </xf>
    <xf numFmtId="164" fontId="23" fillId="0" borderId="0" xfId="1" applyNumberFormat="1" applyFont="1" applyAlignment="1">
      <alignment horizontal="center" vertical="center"/>
    </xf>
    <xf numFmtId="165" fontId="24" fillId="6" borderId="0" xfId="1" applyNumberFormat="1" applyFont="1" applyFill="1" applyAlignment="1">
      <alignment horizontal="center" vertical="top"/>
    </xf>
    <xf numFmtId="0" fontId="26" fillId="6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left" vertical="center" wrapText="1"/>
    </xf>
    <xf numFmtId="0" fontId="21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top"/>
    </xf>
    <xf numFmtId="164" fontId="30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right" vertical="top"/>
    </xf>
    <xf numFmtId="0" fontId="26" fillId="6" borderId="0" xfId="0" applyFont="1" applyFill="1" applyAlignment="1">
      <alignment horizontal="right" vertical="center"/>
    </xf>
    <xf numFmtId="0" fontId="25" fillId="0" borderId="6" xfId="0" applyFont="1" applyBorder="1" applyAlignment="1">
      <alignment horizontal="left" vertical="center" wrapText="1"/>
    </xf>
    <xf numFmtId="0" fontId="25" fillId="0" borderId="7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2" borderId="14" xfId="0" applyFont="1" applyFill="1" applyBorder="1" applyAlignment="1">
      <alignment horizontal="left" vertical="center"/>
    </xf>
    <xf numFmtId="0" fontId="24" fillId="2" borderId="15" xfId="0" applyFont="1" applyFill="1" applyBorder="1" applyAlignment="1">
      <alignment horizontal="left" vertical="center"/>
    </xf>
    <xf numFmtId="164" fontId="25" fillId="0" borderId="16" xfId="1" applyNumberFormat="1" applyFont="1" applyBorder="1" applyAlignment="1">
      <alignment horizontal="right" vertical="center"/>
    </xf>
    <xf numFmtId="164" fontId="25" fillId="0" borderId="15" xfId="1" applyNumberFormat="1" applyFont="1" applyBorder="1" applyAlignment="1">
      <alignment horizontal="right" vertical="center"/>
    </xf>
    <xf numFmtId="164" fontId="25" fillId="0" borderId="17" xfId="1" applyNumberFormat="1" applyFont="1" applyBorder="1" applyAlignment="1">
      <alignment horizontal="right" vertical="center"/>
    </xf>
    <xf numFmtId="0" fontId="24" fillId="2" borderId="10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left" vertical="center"/>
    </xf>
    <xf numFmtId="164" fontId="25" fillId="0" borderId="1" xfId="1" applyNumberFormat="1" applyFont="1" applyBorder="1" applyAlignment="1">
      <alignment horizontal="right" vertical="center"/>
    </xf>
    <xf numFmtId="164" fontId="25" fillId="0" borderId="2" xfId="1" applyNumberFormat="1" applyFont="1" applyBorder="1" applyAlignment="1">
      <alignment horizontal="right" vertical="center"/>
    </xf>
    <xf numFmtId="164" fontId="25" fillId="0" borderId="11" xfId="1" applyNumberFormat="1" applyFont="1" applyBorder="1" applyAlignment="1">
      <alignment horizontal="right" vertical="center"/>
    </xf>
    <xf numFmtId="0" fontId="26" fillId="5" borderId="12" xfId="0" applyFont="1" applyFill="1" applyBorder="1" applyAlignment="1">
      <alignment horizontal="right" vertical="center"/>
    </xf>
    <xf numFmtId="0" fontId="26" fillId="5" borderId="4" xfId="0" applyFont="1" applyFill="1" applyBorder="1" applyAlignment="1">
      <alignment horizontal="right" vertical="center"/>
    </xf>
    <xf numFmtId="164" fontId="26" fillId="5" borderId="5" xfId="1" applyNumberFormat="1" applyFont="1" applyFill="1" applyBorder="1" applyAlignment="1">
      <alignment horizontal="right" vertical="center"/>
    </xf>
    <xf numFmtId="164" fontId="26" fillId="5" borderId="4" xfId="1" applyNumberFormat="1" applyFont="1" applyFill="1" applyBorder="1" applyAlignment="1">
      <alignment horizontal="right" vertical="center"/>
    </xf>
    <xf numFmtId="164" fontId="26" fillId="5" borderId="13" xfId="1" applyNumberFormat="1" applyFont="1" applyFill="1" applyBorder="1" applyAlignment="1">
      <alignment horizontal="right" vertical="center"/>
    </xf>
    <xf numFmtId="0" fontId="19" fillId="4" borderId="0" xfId="0" applyFont="1" applyFill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colors>
    <mruColors>
      <color rgb="FFBCEED7"/>
      <color rgb="FFB95544"/>
      <color rgb="FF33CB86"/>
      <color rgb="FFFFFF00"/>
      <color rgb="FFCC00FF"/>
      <color rgb="FFFFCC00"/>
      <color rgb="FF4046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865583817174715E-2"/>
          <c:y val="0"/>
          <c:w val="0.83270612371643749"/>
          <c:h val="1"/>
        </c:manualLayout>
      </c:layout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rgbClr val="33CB86"/>
              </a:solidFill>
            </c:spPr>
            <c:extLst>
              <c:ext xmlns:c16="http://schemas.microsoft.com/office/drawing/2014/chart" uri="{C3380CC4-5D6E-409C-BE32-E72D297353CC}">
                <c16:uniqueId val="{00000001-5713-4EE9-B3BA-9CA1355EC2E8}"/>
              </c:ext>
            </c:extLst>
          </c:dPt>
          <c:dPt>
            <c:idx val="1"/>
            <c:bubble3D val="0"/>
            <c:spPr>
              <a:solidFill>
                <a:srgbClr val="CC00FF"/>
              </a:solidFill>
            </c:spPr>
            <c:extLst>
              <c:ext xmlns:c16="http://schemas.microsoft.com/office/drawing/2014/chart" uri="{C3380CC4-5D6E-409C-BE32-E72D297353CC}">
                <c16:uniqueId val="{00000003-5713-4EE9-B3BA-9CA1355EC2E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5713-4EE9-B3BA-9CA1355EC2E8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5713-4EE9-B3BA-9CA1355EC2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Sheet!$B$16:$B$19</c:f>
              <c:strCache>
                <c:ptCount val="4"/>
                <c:pt idx="0">
                  <c:v>Salaire de base annuel</c:v>
                </c:pt>
                <c:pt idx="1">
                  <c:v>Heures supplémentaires</c:v>
                </c:pt>
                <c:pt idx="2">
                  <c:v>Prime annuelle</c:v>
                </c:pt>
                <c:pt idx="3">
                  <c:v>Prime d'intéressement</c:v>
                </c:pt>
              </c:strCache>
            </c:strRef>
          </c:cat>
          <c:val>
            <c:numRef>
              <c:f>Sheet!$D$16:$D$19</c:f>
              <c:numCache>
                <c:formatCode>#\ ##0.00\ "€"</c:formatCode>
                <c:ptCount val="4"/>
                <c:pt idx="0">
                  <c:v>20769.34</c:v>
                </c:pt>
                <c:pt idx="1">
                  <c:v>1075.1600000000001</c:v>
                </c:pt>
                <c:pt idx="2">
                  <c:v>687.46</c:v>
                </c:pt>
                <c:pt idx="3">
                  <c:v>687.46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13-4EE9-B3BA-9CA1355EC2E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ln>
      <a:noFill/>
    </a:ln>
  </c:spPr>
  <c:printSettings>
    <c:headerFooter/>
    <c:pageMargins b="0.39370078740157483" l="0.39370078740157483" r="0.39370078740157483" t="3.937007874015748E-2" header="0" footer="0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4.jpeg"/><Relationship Id="rId5" Type="http://schemas.openxmlformats.org/officeDocument/2006/relationships/image" Target="../media/image3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537883</xdr:colOff>
      <xdr:row>14</xdr:row>
      <xdr:rowOff>169433</xdr:rowOff>
    </xdr:from>
    <xdr:to>
      <xdr:col>7</xdr:col>
      <xdr:colOff>941293</xdr:colOff>
      <xdr:row>23</xdr:row>
      <xdr:rowOff>116542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C913BA-CC74-47D8-A76C-2332CD941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137544</xdr:colOff>
      <xdr:row>0</xdr:row>
      <xdr:rowOff>96113</xdr:rowOff>
    </xdr:from>
    <xdr:to>
      <xdr:col>3</xdr:col>
      <xdr:colOff>610480</xdr:colOff>
      <xdr:row>0</xdr:row>
      <xdr:rowOff>465275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16D6A8D-6459-4E1C-9223-DA4A7979C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44" y="96113"/>
          <a:ext cx="2787511" cy="369162"/>
        </a:xfrm>
        <a:prstGeom prst="rect">
          <a:avLst/>
        </a:prstGeom>
      </xdr:spPr>
    </xdr:pic>
    <xdr:clientData/>
  </xdr:twoCellAnchor>
  <xdr:twoCellAnchor editAs="oneCell">
    <xdr:from>
      <xdr:col>0</xdr:col>
      <xdr:colOff>209596</xdr:colOff>
      <xdr:row>5</xdr:row>
      <xdr:rowOff>11723</xdr:rowOff>
    </xdr:from>
    <xdr:to>
      <xdr:col>0</xdr:col>
      <xdr:colOff>511098</xdr:colOff>
      <xdr:row>6</xdr:row>
      <xdr:rowOff>172249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AE0467C-9792-4F1A-B78F-764CD17614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3184" t="9182" r="13316" b="16141"/>
        <a:stretch/>
      </xdr:blipFill>
      <xdr:spPr>
        <a:xfrm>
          <a:off x="209596" y="1535723"/>
          <a:ext cx="301502" cy="343406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179295</xdr:colOff>
      <xdr:row>5</xdr:row>
      <xdr:rowOff>11863</xdr:rowOff>
    </xdr:from>
    <xdr:to>
      <xdr:col>2</xdr:col>
      <xdr:colOff>528582</xdr:colOff>
      <xdr:row>7</xdr:row>
      <xdr:rowOff>6836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D7700C12-9A38-4183-9D12-A1CADFBD1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0935" y="1535863"/>
          <a:ext cx="349287" cy="360733"/>
        </a:xfrm>
        <a:prstGeom prst="rect">
          <a:avLst/>
        </a:prstGeom>
      </xdr:spPr>
    </xdr:pic>
    <xdr:clientData/>
  </xdr:twoCellAnchor>
  <xdr:twoCellAnchor editAs="oneCell">
    <xdr:from>
      <xdr:col>4</xdr:col>
      <xdr:colOff>237455</xdr:colOff>
      <xdr:row>5</xdr:row>
      <xdr:rowOff>13896</xdr:rowOff>
    </xdr:from>
    <xdr:to>
      <xdr:col>5</xdr:col>
      <xdr:colOff>2065</xdr:colOff>
      <xdr:row>6</xdr:row>
      <xdr:rowOff>166295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BF49B670-76FD-40F2-B9BC-61EDBC7073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55" r="20538"/>
        <a:stretch/>
      </xdr:blipFill>
      <xdr:spPr>
        <a:xfrm>
          <a:off x="3696935" y="1537896"/>
          <a:ext cx="306802" cy="335279"/>
        </a:xfrm>
        <a:prstGeom prst="rect">
          <a:avLst/>
        </a:prstGeom>
      </xdr:spPr>
    </xdr:pic>
    <xdr:clientData/>
  </xdr:twoCellAnchor>
  <xdr:twoCellAnchor>
    <xdr:from>
      <xdr:col>0</xdr:col>
      <xdr:colOff>341925</xdr:colOff>
      <xdr:row>15</xdr:row>
      <xdr:rowOff>69290</xdr:rowOff>
    </xdr:from>
    <xdr:to>
      <xdr:col>0</xdr:col>
      <xdr:colOff>533514</xdr:colOff>
      <xdr:row>15</xdr:row>
      <xdr:rowOff>212982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5CB5F486-3D00-4D72-BDD7-767841E35610}"/>
            </a:ext>
          </a:extLst>
        </xdr:cNvPr>
        <xdr:cNvSpPr/>
      </xdr:nvSpPr>
      <xdr:spPr>
        <a:xfrm>
          <a:off x="341925" y="3842655"/>
          <a:ext cx="191589" cy="143692"/>
        </a:xfrm>
        <a:prstGeom prst="roundRect">
          <a:avLst/>
        </a:prstGeom>
        <a:solidFill>
          <a:srgbClr val="33CB8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318500</xdr:colOff>
      <xdr:row>16</xdr:row>
      <xdr:rowOff>64677</xdr:rowOff>
    </xdr:from>
    <xdr:to>
      <xdr:col>0</xdr:col>
      <xdr:colOff>510089</xdr:colOff>
      <xdr:row>16</xdr:row>
      <xdr:rowOff>208369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0717E33A-0067-438D-AC61-3409EF0911C6}"/>
            </a:ext>
          </a:extLst>
        </xdr:cNvPr>
        <xdr:cNvSpPr/>
      </xdr:nvSpPr>
      <xdr:spPr>
        <a:xfrm>
          <a:off x="318500" y="4164237"/>
          <a:ext cx="191589" cy="143692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309535</xdr:colOff>
      <xdr:row>17</xdr:row>
      <xdr:rowOff>65315</xdr:rowOff>
    </xdr:from>
    <xdr:to>
      <xdr:col>0</xdr:col>
      <xdr:colOff>501124</xdr:colOff>
      <xdr:row>17</xdr:row>
      <xdr:rowOff>209007</xdr:rowOff>
    </xdr:to>
    <xdr:sp macro="" textlink="">
      <xdr:nvSpPr>
        <xdr:cNvPr id="9" name="Rectangle : coins arrondis 8">
          <a:extLst>
            <a:ext uri="{FF2B5EF4-FFF2-40B4-BE49-F238E27FC236}">
              <a16:creationId xmlns:a16="http://schemas.microsoft.com/office/drawing/2014/main" id="{7FF64E02-EDE7-42A9-992C-FAE3D8841784}"/>
            </a:ext>
          </a:extLst>
        </xdr:cNvPr>
        <xdr:cNvSpPr/>
      </xdr:nvSpPr>
      <xdr:spPr>
        <a:xfrm>
          <a:off x="309535" y="4423955"/>
          <a:ext cx="191589" cy="143692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319137</xdr:colOff>
      <xdr:row>18</xdr:row>
      <xdr:rowOff>54693</xdr:rowOff>
    </xdr:from>
    <xdr:to>
      <xdr:col>0</xdr:col>
      <xdr:colOff>510726</xdr:colOff>
      <xdr:row>18</xdr:row>
      <xdr:rowOff>198385</xdr:rowOff>
    </xdr:to>
    <xdr:sp macro="" textlink="">
      <xdr:nvSpPr>
        <xdr:cNvPr id="10" name="Rectangle : coins arrondis 9">
          <a:extLst>
            <a:ext uri="{FF2B5EF4-FFF2-40B4-BE49-F238E27FC236}">
              <a16:creationId xmlns:a16="http://schemas.microsoft.com/office/drawing/2014/main" id="{E40914A1-383E-4959-B93A-4ACBC59F3581}"/>
            </a:ext>
          </a:extLst>
        </xdr:cNvPr>
        <xdr:cNvSpPr/>
      </xdr:nvSpPr>
      <xdr:spPr>
        <a:xfrm>
          <a:off x="319137" y="4672413"/>
          <a:ext cx="191589" cy="143692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6</xdr:col>
      <xdr:colOff>259976</xdr:colOff>
      <xdr:row>5</xdr:row>
      <xdr:rowOff>0</xdr:rowOff>
    </xdr:from>
    <xdr:to>
      <xdr:col>6</xdr:col>
      <xdr:colOff>537882</xdr:colOff>
      <xdr:row>7</xdr:row>
      <xdr:rowOff>8964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9ACEEEFA-BA8E-4567-9761-094A625A7F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84" t="10092" r="20223" b="11092"/>
        <a:stretch/>
      </xdr:blipFill>
      <xdr:spPr>
        <a:xfrm>
          <a:off x="5411096" y="1524000"/>
          <a:ext cx="277906" cy="374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60F4-0343-4333-903E-74E9DF864D04}">
  <dimension ref="A1:N53"/>
  <sheetViews>
    <sheetView showGridLines="0" tabSelected="1" showWhiteSpace="0" view="pageBreakPreview" zoomScaleNormal="85" zoomScaleSheetLayoutView="100" zoomScalePageLayoutView="70" workbookViewId="0">
      <selection activeCell="G1" sqref="G1:H1"/>
    </sheetView>
  </sheetViews>
  <sheetFormatPr baseColWidth="10" defaultColWidth="9" defaultRowHeight="14.25"/>
  <cols>
    <col min="1" max="1" width="8.140625" style="1" customWidth="1"/>
    <col min="2" max="2" width="16.5703125" style="1" customWidth="1"/>
    <col min="3" max="3" width="9.140625" style="1" customWidth="1"/>
    <col min="4" max="4" width="17.7109375" style="1" customWidth="1"/>
    <col min="5" max="5" width="8.140625" style="1" customWidth="1"/>
    <col min="6" max="6" width="16.5703125" style="1" customWidth="1"/>
    <col min="7" max="7" width="8.140625" style="1" customWidth="1"/>
    <col min="8" max="8" width="15.7109375" style="1" customWidth="1"/>
    <col min="9" max="9" width="33.28515625" style="1" customWidth="1"/>
    <col min="10" max="10" width="14.85546875" style="1" customWidth="1"/>
    <col min="11" max="11" width="1.7109375" style="1" customWidth="1"/>
    <col min="12" max="12" width="22.28515625" style="1" customWidth="1"/>
    <col min="13" max="13" width="18" style="1" customWidth="1"/>
    <col min="14" max="16384" width="9" style="1"/>
  </cols>
  <sheetData>
    <row r="1" spans="1:14" ht="44.45" customHeight="1">
      <c r="A1" s="14"/>
      <c r="B1" s="14"/>
      <c r="C1" s="14"/>
      <c r="D1" s="15"/>
      <c r="E1" s="15"/>
      <c r="F1" s="34"/>
      <c r="G1" s="67" t="s">
        <v>39</v>
      </c>
      <c r="H1" s="67"/>
    </row>
    <row r="2" spans="1:14" ht="18" customHeight="1"/>
    <row r="3" spans="1:14" ht="23.25">
      <c r="A3" s="68" t="s">
        <v>12</v>
      </c>
      <c r="B3" s="68"/>
      <c r="C3" s="68"/>
      <c r="D3" s="68"/>
      <c r="E3" s="68"/>
      <c r="F3" s="68"/>
      <c r="G3" s="68"/>
      <c r="H3" s="68"/>
    </row>
    <row r="4" spans="1:14" ht="18">
      <c r="A4" s="69" t="s">
        <v>13</v>
      </c>
      <c r="B4" s="69"/>
      <c r="C4" s="69"/>
      <c r="D4" s="69"/>
      <c r="E4" s="69"/>
      <c r="F4" s="69"/>
      <c r="G4" s="69"/>
      <c r="H4" s="69"/>
      <c r="I4" s="2"/>
      <c r="J4" s="2"/>
    </row>
    <row r="5" spans="1:14" ht="19.899999999999999" customHeight="1">
      <c r="J5" s="2"/>
    </row>
    <row r="6" spans="1:14" s="27" customFormat="1" ht="14.45" customHeight="1">
      <c r="B6" s="28" t="s">
        <v>14</v>
      </c>
      <c r="D6" s="29" t="s">
        <v>15</v>
      </c>
      <c r="F6" s="29" t="s">
        <v>16</v>
      </c>
      <c r="H6" s="29" t="s">
        <v>25</v>
      </c>
    </row>
    <row r="7" spans="1:14" ht="14.45" customHeight="1">
      <c r="B7" s="16" t="s">
        <v>38</v>
      </c>
      <c r="D7" s="62">
        <v>44639</v>
      </c>
      <c r="F7" s="62" t="s">
        <v>17</v>
      </c>
      <c r="H7" s="62" t="s">
        <v>2</v>
      </c>
      <c r="M7" s="6"/>
    </row>
    <row r="8" spans="1:14" ht="9.6" customHeight="1" thickBot="1">
      <c r="A8" s="35"/>
      <c r="B8" s="35"/>
      <c r="C8" s="36"/>
      <c r="D8" s="36"/>
      <c r="E8" s="37"/>
      <c r="F8" s="37"/>
      <c r="G8" s="35"/>
      <c r="H8" s="35"/>
      <c r="M8" s="6"/>
    </row>
    <row r="9" spans="1:14" ht="14.45" customHeight="1">
      <c r="C9" s="3"/>
      <c r="D9" s="3"/>
      <c r="E9" s="16"/>
      <c r="F9" s="16"/>
      <c r="I9" s="4"/>
      <c r="J9" s="4"/>
      <c r="K9" s="5"/>
      <c r="L9" s="4"/>
      <c r="M9" s="6"/>
    </row>
    <row r="10" spans="1:14" ht="18.600000000000001" customHeight="1">
      <c r="C10" s="3"/>
      <c r="D10" s="3"/>
      <c r="E10" s="16"/>
      <c r="F10" s="16"/>
      <c r="I10" s="4"/>
      <c r="J10" s="4"/>
      <c r="K10" s="5"/>
      <c r="L10" s="4"/>
      <c r="M10" s="6"/>
    </row>
    <row r="11" spans="1:14" s="48" customFormat="1" ht="27" customHeight="1">
      <c r="A11" s="49" t="s">
        <v>37</v>
      </c>
      <c r="B11" s="49"/>
      <c r="C11" s="50"/>
      <c r="D11" s="51"/>
      <c r="E11" s="51"/>
      <c r="F11" s="51"/>
      <c r="G11" s="51"/>
      <c r="H11" s="51"/>
    </row>
    <row r="12" spans="1:14" s="48" customFormat="1" ht="13.15" customHeight="1">
      <c r="A12" s="52"/>
      <c r="B12" s="52"/>
      <c r="C12" s="53"/>
    </row>
    <row r="13" spans="1:14" s="41" customFormat="1" ht="26.45" customHeight="1">
      <c r="A13" s="25"/>
      <c r="B13" s="44" t="s">
        <v>26</v>
      </c>
      <c r="C13" s="70">
        <v>25000</v>
      </c>
      <c r="D13" s="70"/>
      <c r="E13" s="26" t="s">
        <v>18</v>
      </c>
      <c r="F13" s="46">
        <f>+C13/12</f>
        <v>2083.3333333333335</v>
      </c>
      <c r="G13" s="38" t="s">
        <v>30</v>
      </c>
      <c r="I13" s="4"/>
      <c r="J13" s="4"/>
      <c r="K13" s="39"/>
      <c r="L13" s="4"/>
      <c r="M13" s="40"/>
    </row>
    <row r="14" spans="1:14" s="41" customFormat="1" ht="16.149999999999999" customHeight="1">
      <c r="A14" s="25"/>
      <c r="B14" s="25"/>
      <c r="C14" s="44"/>
      <c r="D14" s="45" t="s">
        <v>36</v>
      </c>
      <c r="E14" s="71" t="s">
        <v>33</v>
      </c>
      <c r="F14" s="71"/>
      <c r="G14" s="65">
        <f>C13*12/SalaireBaseAnnuel</f>
        <v>14.444368477765783</v>
      </c>
      <c r="H14" s="58" t="s">
        <v>34</v>
      </c>
      <c r="I14" s="4"/>
      <c r="J14" s="4"/>
      <c r="K14" s="39"/>
      <c r="L14" s="4"/>
      <c r="M14" s="40"/>
    </row>
    <row r="15" spans="1:14" ht="22.15" customHeight="1">
      <c r="C15" s="17"/>
      <c r="D15" s="18"/>
      <c r="E15" s="19"/>
      <c r="F15" s="17"/>
      <c r="G15" s="19"/>
      <c r="I15" s="4"/>
      <c r="J15" s="4"/>
      <c r="K15" s="5"/>
      <c r="L15" s="4"/>
      <c r="M15" s="6"/>
    </row>
    <row r="16" spans="1:14" ht="20.45" customHeight="1">
      <c r="B16" s="47" t="s">
        <v>0</v>
      </c>
      <c r="D16" s="63">
        <v>20769.34</v>
      </c>
      <c r="F16" s="7"/>
      <c r="H16" s="8"/>
      <c r="N16" s="6"/>
    </row>
    <row r="17" spans="1:8" ht="20.45" customHeight="1">
      <c r="B17" s="47" t="s">
        <v>10</v>
      </c>
      <c r="D17" s="30">
        <v>1075.1600000000001</v>
      </c>
      <c r="F17" s="9"/>
      <c r="H17" s="10"/>
    </row>
    <row r="18" spans="1:8" ht="20.45" customHeight="1">
      <c r="B18" s="47" t="s">
        <v>1</v>
      </c>
      <c r="D18" s="30">
        <v>687.46</v>
      </c>
      <c r="F18" s="11"/>
    </row>
    <row r="19" spans="1:8" ht="20.45" customHeight="1">
      <c r="B19" s="47" t="s">
        <v>11</v>
      </c>
      <c r="D19" s="30">
        <v>687.46</v>
      </c>
      <c r="F19" s="12"/>
    </row>
    <row r="20" spans="1:8" ht="20.45" customHeight="1">
      <c r="B20" s="21"/>
      <c r="D20" s="30"/>
      <c r="F20" s="12"/>
    </row>
    <row r="21" spans="1:8" ht="20.45" customHeight="1">
      <c r="B21" s="66" t="s">
        <v>35</v>
      </c>
      <c r="C21" s="66"/>
      <c r="D21" s="56">
        <v>25000</v>
      </c>
      <c r="F21" s="12"/>
    </row>
    <row r="22" spans="1:8" ht="10.9" customHeight="1">
      <c r="B22" s="21"/>
      <c r="D22" s="30"/>
      <c r="F22" s="12"/>
    </row>
    <row r="23" spans="1:8" ht="20.45" customHeight="1">
      <c r="B23" s="72" t="s">
        <v>22</v>
      </c>
      <c r="C23" s="72"/>
      <c r="D23" s="56">
        <v>20769.34</v>
      </c>
      <c r="F23" s="12"/>
    </row>
    <row r="24" spans="1:8" ht="14.45" customHeight="1">
      <c r="E24" s="13"/>
      <c r="F24" s="13"/>
    </row>
    <row r="25" spans="1:8" ht="14.45" customHeight="1">
      <c r="A25" s="20"/>
      <c r="B25" s="20"/>
      <c r="C25" s="20"/>
      <c r="D25" s="20"/>
      <c r="E25" s="22"/>
      <c r="F25" s="22"/>
      <c r="G25" s="20"/>
    </row>
    <row r="26" spans="1:8" s="48" customFormat="1" ht="27" customHeight="1">
      <c r="A26" s="49" t="s">
        <v>28</v>
      </c>
      <c r="B26" s="49"/>
      <c r="C26" s="50"/>
      <c r="D26" s="51"/>
      <c r="E26" s="51"/>
      <c r="F26" s="51"/>
      <c r="G26" s="51"/>
      <c r="H26" s="51"/>
    </row>
    <row r="27" spans="1:8" s="48" customFormat="1" ht="16.899999999999999" customHeight="1">
      <c r="A27" s="52"/>
      <c r="B27" s="52"/>
      <c r="C27" s="53"/>
    </row>
    <row r="28" spans="1:8" ht="15.75">
      <c r="A28" s="20"/>
      <c r="B28" s="42">
        <v>114</v>
      </c>
      <c r="D28" s="42">
        <v>150</v>
      </c>
      <c r="E28" s="20"/>
      <c r="F28" s="43" t="s">
        <v>31</v>
      </c>
    </row>
    <row r="29" spans="1:8">
      <c r="A29" s="20"/>
      <c r="B29" s="43" t="s">
        <v>20</v>
      </c>
      <c r="D29" s="43" t="s">
        <v>21</v>
      </c>
      <c r="E29" s="20"/>
      <c r="F29" s="33" t="s">
        <v>23</v>
      </c>
    </row>
    <row r="30" spans="1:8" ht="14.45" customHeight="1">
      <c r="A30" s="20"/>
      <c r="D30" s="31"/>
      <c r="E30" s="31"/>
      <c r="F30" s="33"/>
      <c r="H30" s="32"/>
    </row>
    <row r="31" spans="1:8" ht="14.45" customHeight="1">
      <c r="A31" s="25"/>
      <c r="B31" s="73"/>
      <c r="C31" s="74"/>
      <c r="D31" s="75" t="s">
        <v>4</v>
      </c>
      <c r="E31" s="76"/>
      <c r="F31" s="75" t="s">
        <v>5</v>
      </c>
      <c r="G31" s="77"/>
    </row>
    <row r="32" spans="1:8" ht="14.45" customHeight="1">
      <c r="A32" s="25"/>
      <c r="B32" s="78" t="s">
        <v>8</v>
      </c>
      <c r="C32" s="79"/>
      <c r="D32" s="80" t="s">
        <v>24</v>
      </c>
      <c r="E32" s="81"/>
      <c r="F32" s="80">
        <v>20769.34</v>
      </c>
      <c r="G32" s="82"/>
    </row>
    <row r="33" spans="1:13" ht="14.45" customHeight="1">
      <c r="A33" s="25"/>
      <c r="B33" s="83" t="s">
        <v>6</v>
      </c>
      <c r="C33" s="84"/>
      <c r="D33" s="85">
        <v>20769.34</v>
      </c>
      <c r="E33" s="86"/>
      <c r="F33" s="85">
        <v>20769.34</v>
      </c>
      <c r="G33" s="87"/>
    </row>
    <row r="34" spans="1:13" ht="14.45" customHeight="1">
      <c r="A34" s="25"/>
      <c r="B34" s="83" t="s">
        <v>7</v>
      </c>
      <c r="C34" s="84"/>
      <c r="D34" s="85">
        <v>20769.34</v>
      </c>
      <c r="E34" s="86"/>
      <c r="F34" s="85">
        <v>20769.34</v>
      </c>
      <c r="G34" s="87"/>
    </row>
    <row r="35" spans="1:13" ht="14.45" customHeight="1">
      <c r="A35" s="25"/>
      <c r="B35" s="83" t="s">
        <v>29</v>
      </c>
      <c r="C35" s="84"/>
      <c r="D35" s="85">
        <v>20769.34</v>
      </c>
      <c r="E35" s="86"/>
      <c r="F35" s="85">
        <v>20769.34</v>
      </c>
      <c r="G35" s="87"/>
    </row>
    <row r="36" spans="1:13" ht="14.45" customHeight="1">
      <c r="A36" s="25"/>
      <c r="B36" s="83" t="s">
        <v>9</v>
      </c>
      <c r="C36" s="84"/>
      <c r="D36" s="85">
        <v>20769.34</v>
      </c>
      <c r="E36" s="86"/>
      <c r="F36" s="85">
        <v>20769.34</v>
      </c>
      <c r="G36" s="87"/>
    </row>
    <row r="37" spans="1:13" ht="14.45" customHeight="1">
      <c r="A37" s="25"/>
      <c r="B37" s="88" t="s">
        <v>3</v>
      </c>
      <c r="C37" s="89"/>
      <c r="D37" s="90">
        <v>20769.34</v>
      </c>
      <c r="E37" s="91"/>
      <c r="F37" s="90">
        <v>20769.34</v>
      </c>
      <c r="G37" s="92"/>
    </row>
    <row r="38" spans="1:13" ht="14.45" customHeight="1">
      <c r="A38" s="25"/>
      <c r="B38" s="44"/>
      <c r="C38" s="44"/>
      <c r="D38" s="57"/>
      <c r="E38" s="57"/>
      <c r="F38" s="57"/>
      <c r="G38" s="57"/>
    </row>
    <row r="39" spans="1:13" ht="19.149999999999999" customHeight="1">
      <c r="A39" s="25"/>
      <c r="B39" s="44"/>
      <c r="C39" s="44"/>
      <c r="D39" s="57"/>
      <c r="E39" s="57"/>
      <c r="F39" s="57"/>
      <c r="G39" s="57"/>
    </row>
    <row r="40" spans="1:13" ht="31.9" customHeight="1">
      <c r="A40" s="93" t="s">
        <v>27</v>
      </c>
      <c r="B40" s="93"/>
      <c r="C40" s="93"/>
      <c r="D40" s="93"/>
      <c r="E40" s="93"/>
      <c r="F40" s="93"/>
      <c r="G40" s="93"/>
      <c r="H40" s="93"/>
    </row>
    <row r="41" spans="1:13" ht="10.15" customHeight="1">
      <c r="A41" s="52"/>
      <c r="B41" s="52"/>
      <c r="C41" s="54"/>
      <c r="D41" s="55"/>
      <c r="E41" s="52"/>
      <c r="F41" s="55"/>
      <c r="G41" s="52"/>
      <c r="H41" s="48"/>
    </row>
    <row r="42" spans="1:13" s="41" customFormat="1" ht="26.45" customHeight="1">
      <c r="A42" s="25"/>
      <c r="B42" s="52"/>
      <c r="C42" s="59" t="s">
        <v>32</v>
      </c>
      <c r="D42" s="64">
        <v>27000</v>
      </c>
      <c r="E42" s="54" t="s">
        <v>18</v>
      </c>
      <c r="F42" s="64">
        <f>D42/12</f>
        <v>2250</v>
      </c>
      <c r="G42" s="60" t="s">
        <v>19</v>
      </c>
      <c r="H42" s="61"/>
      <c r="I42" s="4"/>
      <c r="J42" s="4"/>
      <c r="K42" s="39"/>
      <c r="L42" s="4"/>
      <c r="M42" s="40"/>
    </row>
    <row r="43" spans="1:13" ht="14.45" customHeight="1">
      <c r="A43" s="25"/>
      <c r="B43" s="25"/>
      <c r="C43" s="26"/>
      <c r="D43" s="19"/>
      <c r="E43" s="25"/>
      <c r="F43" s="19"/>
      <c r="G43" s="25"/>
    </row>
    <row r="44" spans="1:13" ht="20.25" customHeight="1">
      <c r="A44" s="25"/>
      <c r="B44" s="25"/>
      <c r="C44" s="26"/>
      <c r="D44" s="19"/>
      <c r="E44" s="25"/>
      <c r="F44" s="19"/>
      <c r="G44" s="25"/>
    </row>
    <row r="45" spans="1:13" ht="20.25" customHeight="1">
      <c r="A45" s="25"/>
      <c r="B45" s="25"/>
      <c r="C45" s="26"/>
      <c r="D45" s="19"/>
      <c r="E45" s="25"/>
      <c r="F45" s="19"/>
      <c r="G45" s="25"/>
    </row>
    <row r="46" spans="1:13" ht="20.25" customHeight="1">
      <c r="A46" s="25"/>
      <c r="B46" s="25"/>
      <c r="C46" s="26"/>
      <c r="D46" s="19"/>
      <c r="E46" s="25"/>
      <c r="F46" s="19"/>
      <c r="G46" s="25"/>
    </row>
    <row r="47" spans="1:13" ht="18">
      <c r="F47" s="2"/>
    </row>
    <row r="49" spans="6:7" ht="15" customHeight="1"/>
    <row r="50" spans="6:7" ht="0.75" customHeight="1"/>
    <row r="51" spans="6:7" ht="14.45" customHeight="1">
      <c r="F51" s="24"/>
      <c r="G51" s="23"/>
    </row>
    <row r="52" spans="6:7" ht="14.45" customHeight="1">
      <c r="F52" s="24"/>
      <c r="G52" s="23"/>
    </row>
    <row r="53" spans="6:7" ht="14.45" customHeight="1">
      <c r="F53" s="24"/>
      <c r="G53" s="23"/>
    </row>
  </sheetData>
  <mergeCells count="29">
    <mergeCell ref="B37:C37"/>
    <mergeCell ref="D37:E37"/>
    <mergeCell ref="F37:G37"/>
    <mergeCell ref="A40:H40"/>
    <mergeCell ref="B35:C35"/>
    <mergeCell ref="D35:E35"/>
    <mergeCell ref="F35:G35"/>
    <mergeCell ref="B36:C36"/>
    <mergeCell ref="D36:E36"/>
    <mergeCell ref="F36:G36"/>
    <mergeCell ref="B33:C33"/>
    <mergeCell ref="D33:E33"/>
    <mergeCell ref="F33:G33"/>
    <mergeCell ref="B34:C34"/>
    <mergeCell ref="D34:E34"/>
    <mergeCell ref="F34:G34"/>
    <mergeCell ref="B23:C23"/>
    <mergeCell ref="B31:C31"/>
    <mergeCell ref="D31:E31"/>
    <mergeCell ref="F31:G31"/>
    <mergeCell ref="B32:C32"/>
    <mergeCell ref="D32:E32"/>
    <mergeCell ref="F32:G32"/>
    <mergeCell ref="B21:C21"/>
    <mergeCell ref="G1:H1"/>
    <mergeCell ref="A3:H3"/>
    <mergeCell ref="A4:H4"/>
    <mergeCell ref="C13:D13"/>
    <mergeCell ref="E14:F14"/>
  </mergeCells>
  <printOptions horizontalCentered="1"/>
  <pageMargins left="0.25" right="0.25" top="0.32" bottom="0.33" header="0.3" footer="0.3"/>
  <pageSetup paperSize="9" scale="98" fitToWidth="0" fitToHeight="0" pageOrder="overThenDown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5b5a29-69a2-47e1-8766-0cb75d34b0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6101244AA9364881E1FAA2028C086F" ma:contentTypeVersion="8" ma:contentTypeDescription="Create a new document." ma:contentTypeScope="" ma:versionID="cbd5e0a8358e19bce135d3210983e9f9">
  <xsd:schema xmlns:xsd="http://www.w3.org/2001/XMLSchema" xmlns:xs="http://www.w3.org/2001/XMLSchema" xmlns:p="http://schemas.microsoft.com/office/2006/metadata/properties" xmlns:ns3="b05b5a29-69a2-47e1-8766-0cb75d34b0ce" xmlns:ns4="27e7423f-20f8-4bba-8b4d-ddc0b3db304b" targetNamespace="http://schemas.microsoft.com/office/2006/metadata/properties" ma:root="true" ma:fieldsID="34426d9f8de3867abefdc74f363341d8" ns3:_="" ns4:_="">
    <xsd:import namespace="b05b5a29-69a2-47e1-8766-0cb75d34b0ce"/>
    <xsd:import namespace="27e7423f-20f8-4bba-8b4d-ddc0b3db304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b5a29-69a2-47e1-8766-0cb75d34b0ce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7423f-20f8-4bba-8b4d-ddc0b3db304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04A9CD-0A60-4B51-9C19-E8E728F45D26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b05b5a29-69a2-47e1-8766-0cb75d34b0ce"/>
    <ds:schemaRef ds:uri="27e7423f-20f8-4bba-8b4d-ddc0b3db304b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922D9C8-53C6-4BCB-BCD2-FBD952484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DBC41C-80A7-4F69-A608-16186EC0F1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5b5a29-69a2-47e1-8766-0cb75d34b0ce"/>
    <ds:schemaRef ds:uri="27e7423f-20f8-4bba-8b4d-ddc0b3db30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</vt:lpstr>
      <vt:lpstr>Sheet!SalaireBaseAnnuel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Téo ULGEN</cp:lastModifiedBy>
  <cp:lastPrinted>2024-02-28T09:52:05Z</cp:lastPrinted>
  <dcterms:created xsi:type="dcterms:W3CDTF">2023-12-05T14:24:51Z</dcterms:created>
  <dcterms:modified xsi:type="dcterms:W3CDTF">2025-11-20T09:28:03Z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0x010100416101244AA9364881E1FAA2028C086F</vt:lpwstr>
  </property>
</Properties>
</file>